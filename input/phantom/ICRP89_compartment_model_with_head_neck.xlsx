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gc/Documents/Python_Marina/input/phantom/"/>
    </mc:Choice>
  </mc:AlternateContent>
  <xr:revisionPtr revIDLastSave="0" documentId="13_ncr:1_{29D33450-4981-5049-B453-EF06C9371801}" xr6:coauthVersionLast="47" xr6:coauthVersionMax="47" xr10:uidLastSave="{00000000-0000-0000-0000-000000000000}"/>
  <bookViews>
    <workbookView xWindow="0" yWindow="660" windowWidth="30240" windowHeight="17060" tabRatio="500" xr2:uid="{00000000-000D-0000-FFFF-FFFF00000000}"/>
  </bookViews>
  <sheets>
    <sheet name="male_new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2" i="6" l="1"/>
  <c r="AL3" i="6"/>
  <c r="AL4" i="6" s="1"/>
  <c r="J8" i="6"/>
  <c r="AL5" i="6" l="1"/>
  <c r="AI4" i="6"/>
  <c r="AI3" i="6"/>
  <c r="AF8" i="6"/>
  <c r="AF6" i="6"/>
  <c r="AL6" i="6" l="1"/>
  <c r="AI5" i="6"/>
  <c r="E2" i="6"/>
  <c r="AL7" i="6" l="1"/>
  <c r="AI6" i="6"/>
  <c r="M5" i="6"/>
  <c r="AL8" i="6" l="1"/>
  <c r="AI7" i="6"/>
  <c r="M31" i="6"/>
  <c r="AE5" i="6"/>
  <c r="AE10" i="6"/>
  <c r="AF31" i="6"/>
  <c r="AL9" i="6" l="1"/>
  <c r="AI8" i="6"/>
  <c r="AL10" i="6" l="1"/>
  <c r="AI9" i="6"/>
  <c r="AL11" i="6" l="1"/>
  <c r="AI10" i="6"/>
  <c r="AL12" i="6" l="1"/>
  <c r="AI11" i="6"/>
  <c r="AL13" i="6" l="1"/>
  <c r="AI12" i="6"/>
  <c r="AL14" i="6" l="1"/>
  <c r="AI13" i="6"/>
  <c r="AL15" i="6" l="1"/>
  <c r="AI14" i="6"/>
  <c r="AL16" i="6" l="1"/>
  <c r="AI15" i="6"/>
  <c r="P31" i="6"/>
  <c r="X31" i="6"/>
  <c r="G31" i="6"/>
  <c r="D31" i="6"/>
  <c r="AL17" i="6" l="1"/>
  <c r="AI16" i="6"/>
  <c r="H29" i="6"/>
  <c r="AE29" i="6" s="1"/>
  <c r="AC31" i="6"/>
  <c r="E31" i="6"/>
  <c r="AE2" i="6"/>
  <c r="C13" i="6"/>
  <c r="H16" i="6"/>
  <c r="H24" i="6"/>
  <c r="AE24" i="6" s="1"/>
  <c r="AE4" i="6"/>
  <c r="N31" i="6"/>
  <c r="C14" i="6"/>
  <c r="AE14" i="6" s="1"/>
  <c r="F31" i="6"/>
  <c r="AL18" i="6" l="1"/>
  <c r="AI17" i="6"/>
  <c r="AE6" i="6"/>
  <c r="V31" i="6"/>
  <c r="R22" i="6"/>
  <c r="AE22" i="6" s="1"/>
  <c r="R19" i="6"/>
  <c r="AE19" i="6" s="1"/>
  <c r="S31" i="6"/>
  <c r="Z31" i="6"/>
  <c r="H26" i="6"/>
  <c r="AE26" i="6" s="1"/>
  <c r="AD31" i="6"/>
  <c r="H30" i="6"/>
  <c r="AE30" i="6" s="1"/>
  <c r="C31" i="6"/>
  <c r="AE13" i="6"/>
  <c r="R20" i="6"/>
  <c r="AE20" i="6" s="1"/>
  <c r="T31" i="6"/>
  <c r="Y31" i="6"/>
  <c r="H25" i="6"/>
  <c r="AE25" i="6" s="1"/>
  <c r="AE16" i="6"/>
  <c r="O31" i="6"/>
  <c r="AA31" i="6"/>
  <c r="H27" i="6"/>
  <c r="AE27" i="6" s="1"/>
  <c r="R21" i="6"/>
  <c r="AE21" i="6" s="1"/>
  <c r="U31" i="6"/>
  <c r="W31" i="6"/>
  <c r="R23" i="6"/>
  <c r="AE23" i="6" s="1"/>
  <c r="AB31" i="6"/>
  <c r="H28" i="6" s="1"/>
  <c r="AE28" i="6" s="1"/>
  <c r="H17" i="6"/>
  <c r="AE17" i="6" s="1"/>
  <c r="Q31" i="6"/>
  <c r="AL19" i="6" l="1"/>
  <c r="AI18" i="6"/>
  <c r="R31" i="6"/>
  <c r="H18" i="6" s="1"/>
  <c r="AE18" i="6" s="1"/>
  <c r="AE7" i="6"/>
  <c r="AL20" i="6" l="1"/>
  <c r="AI19" i="6"/>
  <c r="AE11" i="6"/>
  <c r="AL21" i="6" l="1"/>
  <c r="AI20" i="6"/>
  <c r="AE12" i="6"/>
  <c r="B31" i="6"/>
  <c r="AL22" i="6" l="1"/>
  <c r="AI21" i="6"/>
  <c r="AE3" i="6"/>
  <c r="L31" i="6"/>
  <c r="AL23" i="6" l="1"/>
  <c r="AI22" i="6"/>
  <c r="AE9" i="6"/>
  <c r="J31" i="6"/>
  <c r="AE8" i="6"/>
  <c r="AL24" i="6" l="1"/>
  <c r="AI23" i="6"/>
  <c r="K31" i="6"/>
  <c r="AL25" i="6" l="1"/>
  <c r="AI24" i="6"/>
  <c r="I31" i="6"/>
  <c r="H31" i="6"/>
  <c r="AL26" i="6" l="1"/>
  <c r="AI25" i="6"/>
  <c r="AE15" i="6"/>
  <c r="AL27" i="6" l="1"/>
  <c r="AI26" i="6"/>
  <c r="AL28" i="6" l="1"/>
  <c r="AI27" i="6"/>
  <c r="AL29" i="6" l="1"/>
  <c r="AI28" i="6"/>
  <c r="AL30" i="6" l="1"/>
  <c r="AI30" i="6" s="1"/>
  <c r="AI29" i="6"/>
</calcChain>
</file>

<file path=xl/sharedStrings.xml><?xml version="1.0" encoding="utf-8"?>
<sst xmlns="http://schemas.openxmlformats.org/spreadsheetml/2006/main" count="63" uniqueCount="34">
  <si>
    <t>brain</t>
  </si>
  <si>
    <t>thyroid</t>
  </si>
  <si>
    <t>lymph_nodes</t>
  </si>
  <si>
    <t>large_veins</t>
  </si>
  <si>
    <t>all_other</t>
  </si>
  <si>
    <t>fat</t>
  </si>
  <si>
    <t>adrenals</t>
  </si>
  <si>
    <t>bronchial</t>
  </si>
  <si>
    <t>right_heart</t>
  </si>
  <si>
    <t>left_heart</t>
  </si>
  <si>
    <t>coronary</t>
  </si>
  <si>
    <t>liver</t>
  </si>
  <si>
    <t>kidneys</t>
  </si>
  <si>
    <t>bladder</t>
  </si>
  <si>
    <t>gonads</t>
  </si>
  <si>
    <t>pancreas</t>
  </si>
  <si>
    <t>spleen</t>
  </si>
  <si>
    <t>stomach_oesophagus</t>
  </si>
  <si>
    <t>small_intestine</t>
  </si>
  <si>
    <t>large_intestine</t>
  </si>
  <si>
    <t>flow_sum</t>
  </si>
  <si>
    <t>volume</t>
  </si>
  <si>
    <t>sum</t>
  </si>
  <si>
    <t>lung</t>
  </si>
  <si>
    <t>MTT estimate</t>
  </si>
  <si>
    <t>superior_vena_cava</t>
  </si>
  <si>
    <t>inferior_vena_cava</t>
  </si>
  <si>
    <t>aorta</t>
  </si>
  <si>
    <t>large_arteries</t>
  </si>
  <si>
    <t>pulmonary_artery</t>
  </si>
  <si>
    <t>head_neck_arteries</t>
  </si>
  <si>
    <t>head_neck_veins</t>
  </si>
  <si>
    <t>bone_muscle_skin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</si>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</sst>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7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E79"/>
      <color rgb="FFFC03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80C5-6CAE-9443-9374-82AE46D07216}">
  <dimension ref="A1:AL43"/>
  <sheetViews>
    <sheetView tabSelected="1" zoomScale="93" zoomScaleNormal="93" workbookViewId="0">
      <selection activeCell="AF37" sqref="AF37"/>
    </sheetView>
  </sheetViews>
  <sheetFormatPr baseColWidth="10" defaultColWidth="8.5" defaultRowHeight="15" x14ac:dyDescent="0.2"/>
  <cols>
    <col min="1" max="1" width="22.6640625" customWidth="1"/>
    <col min="2" max="30" width="18.6640625" customWidth="1"/>
  </cols>
  <sheetData>
    <row r="1" spans="1:38" x14ac:dyDescent="0.2">
      <c r="A1">
        <v>29</v>
      </c>
      <c r="B1" t="s">
        <v>8</v>
      </c>
      <c r="C1" t="s">
        <v>9</v>
      </c>
      <c r="D1" t="s">
        <v>27</v>
      </c>
      <c r="E1" t="s">
        <v>29</v>
      </c>
      <c r="F1" s="2" t="s">
        <v>28</v>
      </c>
      <c r="G1" s="2" t="s">
        <v>30</v>
      </c>
      <c r="H1" s="1" t="s">
        <v>3</v>
      </c>
      <c r="I1" s="1" t="s">
        <v>31</v>
      </c>
      <c r="J1" t="s">
        <v>25</v>
      </c>
      <c r="K1" t="s">
        <v>26</v>
      </c>
      <c r="L1" t="s">
        <v>10</v>
      </c>
      <c r="M1" t="s">
        <v>23</v>
      </c>
      <c r="N1" t="s">
        <v>7</v>
      </c>
      <c r="O1" t="s">
        <v>0</v>
      </c>
      <c r="P1" t="s">
        <v>12</v>
      </c>
      <c r="Q1" t="s">
        <v>6</v>
      </c>
      <c r="R1" t="s">
        <v>11</v>
      </c>
      <c r="S1" t="s">
        <v>16</v>
      </c>
      <c r="T1" t="s">
        <v>15</v>
      </c>
      <c r="U1" t="s">
        <v>17</v>
      </c>
      <c r="V1" t="s">
        <v>18</v>
      </c>
      <c r="W1" t="s">
        <v>19</v>
      </c>
      <c r="X1" t="s">
        <v>13</v>
      </c>
      <c r="Y1" t="s">
        <v>14</v>
      </c>
      <c r="Z1" t="s">
        <v>1</v>
      </c>
      <c r="AA1" t="s">
        <v>2</v>
      </c>
      <c r="AB1" t="s">
        <v>32</v>
      </c>
      <c r="AC1" t="s">
        <v>5</v>
      </c>
      <c r="AD1" t="s">
        <v>4</v>
      </c>
      <c r="AE1" t="s">
        <v>20</v>
      </c>
      <c r="AF1" t="s">
        <v>21</v>
      </c>
      <c r="AI1" t="s">
        <v>24</v>
      </c>
      <c r="AL1" t="s">
        <v>33</v>
      </c>
    </row>
    <row r="2" spans="1:38" x14ac:dyDescent="0.2">
      <c r="A2" t="s">
        <v>8</v>
      </c>
      <c r="E2">
        <f>100-N6</f>
        <v>97.5</v>
      </c>
      <c r="AE2">
        <f t="shared" ref="AE2:AE30" si="0">SUM(B2:AD2)</f>
        <v>97.5</v>
      </c>
      <c r="AF2">
        <v>4.5</v>
      </c>
      <c r="AI2">
        <f t="shared" ref="AI2:AI7" si="1">AF2 * 5.3 / (AE2 * (AL2/60))</f>
        <v>2.257988165680473</v>
      </c>
      <c r="AL2">
        <v>6.5</v>
      </c>
    </row>
    <row r="3" spans="1:38" x14ac:dyDescent="0.2">
      <c r="A3" t="s">
        <v>9</v>
      </c>
      <c r="D3">
        <v>96</v>
      </c>
      <c r="L3">
        <v>4</v>
      </c>
      <c r="AE3">
        <f t="shared" si="0"/>
        <v>100</v>
      </c>
      <c r="AF3">
        <v>4.5</v>
      </c>
      <c r="AI3">
        <f t="shared" si="1"/>
        <v>2.201538461538461</v>
      </c>
      <c r="AL3">
        <f>AL2</f>
        <v>6.5</v>
      </c>
    </row>
    <row r="4" spans="1:38" x14ac:dyDescent="0.2">
      <c r="A4" t="s">
        <v>27</v>
      </c>
      <c r="F4">
        <v>79</v>
      </c>
      <c r="G4">
        <v>17</v>
      </c>
      <c r="AE4">
        <f t="shared" si="0"/>
        <v>96</v>
      </c>
      <c r="AF4">
        <v>2.7</v>
      </c>
      <c r="AI4">
        <f t="shared" si="1"/>
        <v>1.3759615384615385</v>
      </c>
      <c r="AL4">
        <f t="shared" ref="AL4:AL30" si="2">AL3</f>
        <v>6.5</v>
      </c>
    </row>
    <row r="5" spans="1:38" x14ac:dyDescent="0.2">
      <c r="A5" t="s">
        <v>29</v>
      </c>
      <c r="M5">
        <f>E2</f>
        <v>97.5</v>
      </c>
      <c r="AE5">
        <f t="shared" si="0"/>
        <v>97.5</v>
      </c>
      <c r="AF5">
        <v>0.5</v>
      </c>
      <c r="AI5">
        <f t="shared" si="1"/>
        <v>0.25088757396449701</v>
      </c>
      <c r="AL5">
        <f t="shared" si="2"/>
        <v>6.5</v>
      </c>
    </row>
    <row r="6" spans="1:38" ht="16" customHeight="1" x14ac:dyDescent="0.2">
      <c r="A6" s="2" t="s">
        <v>28</v>
      </c>
      <c r="N6">
        <v>2.5</v>
      </c>
      <c r="P6">
        <v>19</v>
      </c>
      <c r="Q6">
        <v>0.3</v>
      </c>
      <c r="R6">
        <v>6.5</v>
      </c>
      <c r="S6">
        <v>3</v>
      </c>
      <c r="T6">
        <v>1</v>
      </c>
      <c r="U6">
        <v>1</v>
      </c>
      <c r="V6">
        <v>10</v>
      </c>
      <c r="W6">
        <v>4</v>
      </c>
      <c r="X6">
        <v>0.06</v>
      </c>
      <c r="Y6">
        <v>0.05</v>
      </c>
      <c r="Z6">
        <v>1.5</v>
      </c>
      <c r="AA6">
        <v>1.7</v>
      </c>
      <c r="AB6">
        <v>22</v>
      </c>
      <c r="AC6">
        <v>5</v>
      </c>
      <c r="AD6">
        <v>1.39</v>
      </c>
      <c r="AE6">
        <f t="shared" si="0"/>
        <v>79</v>
      </c>
      <c r="AF6">
        <f>2.8-(AF7)</f>
        <v>2.5739999999999998</v>
      </c>
      <c r="AI6">
        <f t="shared" si="1"/>
        <v>1.5940253164556961</v>
      </c>
      <c r="AL6">
        <f t="shared" si="2"/>
        <v>6.5</v>
      </c>
    </row>
    <row r="7" spans="1:38" x14ac:dyDescent="0.2">
      <c r="A7" s="2" t="s">
        <v>30</v>
      </c>
      <c r="O7">
        <v>12</v>
      </c>
      <c r="AB7">
        <v>5</v>
      </c>
      <c r="AE7">
        <f t="shared" si="0"/>
        <v>17</v>
      </c>
      <c r="AF7">
        <v>0.22600000000000001</v>
      </c>
      <c r="AI7">
        <f t="shared" si="1"/>
        <v>0.65038914027149319</v>
      </c>
      <c r="AL7">
        <f t="shared" si="2"/>
        <v>6.5</v>
      </c>
    </row>
    <row r="8" spans="1:38" ht="16" customHeight="1" x14ac:dyDescent="0.2">
      <c r="A8" s="1" t="s">
        <v>3</v>
      </c>
      <c r="J8">
        <f>B10-J9</f>
        <v>20.700000000000003</v>
      </c>
      <c r="K8">
        <v>60.8</v>
      </c>
      <c r="AE8">
        <f t="shared" si="0"/>
        <v>81.5</v>
      </c>
      <c r="AF8">
        <f>14-AF9</f>
        <v>13.68</v>
      </c>
      <c r="AI8">
        <f t="shared" ref="AI8:AI30" si="3">AF8 * 5.3 / (AE8 * (AL8/60))</f>
        <v>8.211873525247757</v>
      </c>
      <c r="AL8">
        <f t="shared" si="2"/>
        <v>6.5</v>
      </c>
    </row>
    <row r="9" spans="1:38" x14ac:dyDescent="0.2">
      <c r="A9" s="1" t="s">
        <v>31</v>
      </c>
      <c r="J9">
        <v>12</v>
      </c>
      <c r="AE9">
        <f t="shared" si="0"/>
        <v>12</v>
      </c>
      <c r="AF9">
        <v>0.32</v>
      </c>
      <c r="AI9">
        <f t="shared" si="3"/>
        <v>1.3046153846153845</v>
      </c>
      <c r="AL9">
        <f t="shared" si="2"/>
        <v>6.5</v>
      </c>
    </row>
    <row r="10" spans="1:38" x14ac:dyDescent="0.2">
      <c r="A10" t="s">
        <v>25</v>
      </c>
      <c r="B10">
        <v>32.700000000000003</v>
      </c>
      <c r="AE10">
        <f t="shared" si="0"/>
        <v>32.700000000000003</v>
      </c>
      <c r="AF10">
        <v>1.5</v>
      </c>
      <c r="AI10">
        <f t="shared" si="3"/>
        <v>2.2441778405081152</v>
      </c>
      <c r="AL10">
        <f t="shared" si="2"/>
        <v>6.5</v>
      </c>
    </row>
    <row r="11" spans="1:38" x14ac:dyDescent="0.2">
      <c r="A11" t="s">
        <v>26</v>
      </c>
      <c r="B11">
        <v>60.8</v>
      </c>
      <c r="AE11">
        <f t="shared" si="0"/>
        <v>60.8</v>
      </c>
      <c r="AF11">
        <v>2.5</v>
      </c>
      <c r="AI11">
        <f t="shared" si="3"/>
        <v>2.0116396761133601</v>
      </c>
      <c r="AL11">
        <f t="shared" si="2"/>
        <v>6.5</v>
      </c>
    </row>
    <row r="12" spans="1:38" x14ac:dyDescent="0.2">
      <c r="A12" t="s">
        <v>10</v>
      </c>
      <c r="B12">
        <v>4</v>
      </c>
      <c r="AE12">
        <f t="shared" si="0"/>
        <v>4</v>
      </c>
      <c r="AF12">
        <v>1</v>
      </c>
      <c r="AI12">
        <f t="shared" si="3"/>
        <v>12.23076923076923</v>
      </c>
      <c r="AL12">
        <f t="shared" si="2"/>
        <v>6.5</v>
      </c>
    </row>
    <row r="13" spans="1:38" x14ac:dyDescent="0.2">
      <c r="A13" t="s">
        <v>23</v>
      </c>
      <c r="C13">
        <f>E2</f>
        <v>97.5</v>
      </c>
      <c r="AE13">
        <f t="shared" si="0"/>
        <v>97.5</v>
      </c>
      <c r="AF13">
        <v>10.5</v>
      </c>
      <c r="AI13">
        <f t="shared" si="3"/>
        <v>5.2686390532544376</v>
      </c>
      <c r="AL13">
        <f t="shared" si="2"/>
        <v>6.5</v>
      </c>
    </row>
    <row r="14" spans="1:38" x14ac:dyDescent="0.2">
      <c r="A14" t="s">
        <v>7</v>
      </c>
      <c r="C14">
        <f>N6</f>
        <v>2.5</v>
      </c>
      <c r="H14">
        <v>0</v>
      </c>
      <c r="AE14">
        <f t="shared" si="0"/>
        <v>2.5</v>
      </c>
      <c r="AF14">
        <v>2</v>
      </c>
      <c r="AI14">
        <f t="shared" si="3"/>
        <v>39.138461538461534</v>
      </c>
      <c r="AL14">
        <f t="shared" si="2"/>
        <v>6.5</v>
      </c>
    </row>
    <row r="15" spans="1:38" x14ac:dyDescent="0.2">
      <c r="A15" t="s">
        <v>0</v>
      </c>
      <c r="H15">
        <v>0</v>
      </c>
      <c r="I15">
        <v>12</v>
      </c>
      <c r="AE15">
        <f t="shared" si="0"/>
        <v>12</v>
      </c>
      <c r="AF15">
        <v>1.2</v>
      </c>
      <c r="AI15">
        <f t="shared" si="3"/>
        <v>4.8923076923076918</v>
      </c>
      <c r="AL15">
        <f t="shared" si="2"/>
        <v>6.5</v>
      </c>
    </row>
    <row r="16" spans="1:38" x14ac:dyDescent="0.2">
      <c r="A16" t="s">
        <v>12</v>
      </c>
      <c r="H16">
        <f>P6</f>
        <v>19</v>
      </c>
      <c r="AE16">
        <f t="shared" si="0"/>
        <v>19</v>
      </c>
      <c r="AF16">
        <v>2</v>
      </c>
      <c r="AI16">
        <f t="shared" si="3"/>
        <v>5.1497975708502013</v>
      </c>
      <c r="AL16">
        <f t="shared" si="2"/>
        <v>6.5</v>
      </c>
    </row>
    <row r="17" spans="1:38" x14ac:dyDescent="0.2">
      <c r="A17" t="s">
        <v>6</v>
      </c>
      <c r="H17">
        <f>Q6</f>
        <v>0.3</v>
      </c>
      <c r="AE17">
        <f t="shared" si="0"/>
        <v>0.3</v>
      </c>
      <c r="AF17">
        <v>0.06</v>
      </c>
      <c r="AI17">
        <f t="shared" si="3"/>
        <v>9.7846153846153836</v>
      </c>
      <c r="AL17">
        <f t="shared" si="2"/>
        <v>6.5</v>
      </c>
    </row>
    <row r="18" spans="1:38" x14ac:dyDescent="0.2">
      <c r="A18" t="s">
        <v>11</v>
      </c>
      <c r="H18">
        <f>R31</f>
        <v>25.5</v>
      </c>
      <c r="AE18">
        <f t="shared" si="0"/>
        <v>25.5</v>
      </c>
      <c r="AF18">
        <v>10</v>
      </c>
      <c r="AI18">
        <f t="shared" si="3"/>
        <v>19.18552036199095</v>
      </c>
      <c r="AL18">
        <f t="shared" si="2"/>
        <v>6.5</v>
      </c>
    </row>
    <row r="19" spans="1:38" x14ac:dyDescent="0.2">
      <c r="A19" t="s">
        <v>16</v>
      </c>
      <c r="R19">
        <f>S6</f>
        <v>3</v>
      </c>
      <c r="AE19">
        <f t="shared" si="0"/>
        <v>3</v>
      </c>
      <c r="AF19">
        <v>1.4</v>
      </c>
      <c r="AI19">
        <f t="shared" si="3"/>
        <v>22.830769230769228</v>
      </c>
      <c r="AL19">
        <f t="shared" si="2"/>
        <v>6.5</v>
      </c>
    </row>
    <row r="20" spans="1:38" x14ac:dyDescent="0.2">
      <c r="A20" t="s">
        <v>15</v>
      </c>
      <c r="R20">
        <f>T6</f>
        <v>1</v>
      </c>
      <c r="AE20">
        <f t="shared" si="0"/>
        <v>1</v>
      </c>
      <c r="AF20">
        <v>0.6</v>
      </c>
      <c r="AI20">
        <f t="shared" si="3"/>
        <v>29.353846153846149</v>
      </c>
      <c r="AL20">
        <f t="shared" si="2"/>
        <v>6.5</v>
      </c>
    </row>
    <row r="21" spans="1:38" x14ac:dyDescent="0.2">
      <c r="A21" t="s">
        <v>17</v>
      </c>
      <c r="R21">
        <f>U6</f>
        <v>1</v>
      </c>
      <c r="AE21">
        <f t="shared" si="0"/>
        <v>1</v>
      </c>
      <c r="AF21">
        <v>1</v>
      </c>
      <c r="AI21">
        <f t="shared" si="3"/>
        <v>48.92307692307692</v>
      </c>
      <c r="AL21">
        <f t="shared" si="2"/>
        <v>6.5</v>
      </c>
    </row>
    <row r="22" spans="1:38" ht="16" customHeight="1" x14ac:dyDescent="0.2">
      <c r="A22" t="s">
        <v>18</v>
      </c>
      <c r="R22">
        <f>V6</f>
        <v>10</v>
      </c>
      <c r="AE22">
        <f t="shared" si="0"/>
        <v>10</v>
      </c>
      <c r="AF22">
        <v>3.8</v>
      </c>
      <c r="AI22">
        <f t="shared" si="3"/>
        <v>18.590769230769226</v>
      </c>
      <c r="AL22">
        <f t="shared" si="2"/>
        <v>6.5</v>
      </c>
    </row>
    <row r="23" spans="1:38" x14ac:dyDescent="0.2">
      <c r="A23" t="s">
        <v>19</v>
      </c>
      <c r="R23">
        <f>W6</f>
        <v>4</v>
      </c>
      <c r="AE23">
        <f t="shared" si="0"/>
        <v>4</v>
      </c>
      <c r="AF23">
        <v>2.2000000000000002</v>
      </c>
      <c r="AI23">
        <f t="shared" si="3"/>
        <v>26.907692307692308</v>
      </c>
      <c r="AL23">
        <f t="shared" si="2"/>
        <v>6.5</v>
      </c>
    </row>
    <row r="24" spans="1:38" x14ac:dyDescent="0.2">
      <c r="A24" t="s">
        <v>13</v>
      </c>
      <c r="H24">
        <f>X6</f>
        <v>0.06</v>
      </c>
      <c r="AE24">
        <f t="shared" si="0"/>
        <v>0.06</v>
      </c>
      <c r="AF24">
        <v>0.02</v>
      </c>
      <c r="AI24">
        <f t="shared" si="3"/>
        <v>16.307692307692307</v>
      </c>
      <c r="AL24">
        <f t="shared" si="2"/>
        <v>6.5</v>
      </c>
    </row>
    <row r="25" spans="1:38" x14ac:dyDescent="0.2">
      <c r="A25" t="s">
        <v>14</v>
      </c>
      <c r="H25">
        <f>Y6</f>
        <v>0.05</v>
      </c>
      <c r="AE25">
        <f t="shared" si="0"/>
        <v>0.05</v>
      </c>
      <c r="AF25">
        <v>0.04</v>
      </c>
      <c r="AI25">
        <f t="shared" si="3"/>
        <v>39.138461538461534</v>
      </c>
      <c r="AL25">
        <f t="shared" si="2"/>
        <v>6.5</v>
      </c>
    </row>
    <row r="26" spans="1:38" x14ac:dyDescent="0.2">
      <c r="A26" t="s">
        <v>1</v>
      </c>
      <c r="H26">
        <f>Z6</f>
        <v>1.5</v>
      </c>
      <c r="AE26">
        <f t="shared" si="0"/>
        <v>1.5</v>
      </c>
      <c r="AF26">
        <v>0.06</v>
      </c>
      <c r="AI26">
        <f t="shared" si="3"/>
        <v>1.956923076923077</v>
      </c>
      <c r="AL26">
        <f t="shared" si="2"/>
        <v>6.5</v>
      </c>
    </row>
    <row r="27" spans="1:38" x14ac:dyDescent="0.2">
      <c r="A27" t="s">
        <v>2</v>
      </c>
      <c r="H27">
        <f>AA6</f>
        <v>1.7</v>
      </c>
      <c r="AE27">
        <f t="shared" si="0"/>
        <v>1.7</v>
      </c>
      <c r="AF27">
        <v>0.2</v>
      </c>
      <c r="AI27">
        <f t="shared" si="3"/>
        <v>5.755656108597285</v>
      </c>
      <c r="AL27">
        <f t="shared" si="2"/>
        <v>6.5</v>
      </c>
    </row>
    <row r="28" spans="1:38" x14ac:dyDescent="0.2">
      <c r="A28" t="s">
        <v>32</v>
      </c>
      <c r="H28">
        <f>AB31</f>
        <v>27</v>
      </c>
      <c r="AE28">
        <f t="shared" si="0"/>
        <v>27</v>
      </c>
      <c r="AF28">
        <v>24</v>
      </c>
      <c r="AI28">
        <f t="shared" si="3"/>
        <v>43.487179487179482</v>
      </c>
      <c r="AL28">
        <f t="shared" si="2"/>
        <v>6.5</v>
      </c>
    </row>
    <row r="29" spans="1:38" x14ac:dyDescent="0.2">
      <c r="A29" t="s">
        <v>5</v>
      </c>
      <c r="H29">
        <f>AC6</f>
        <v>5</v>
      </c>
      <c r="AE29">
        <f t="shared" si="0"/>
        <v>5</v>
      </c>
      <c r="AF29">
        <v>5</v>
      </c>
      <c r="AI29">
        <f t="shared" si="3"/>
        <v>48.92307692307692</v>
      </c>
      <c r="AL29">
        <f t="shared" si="2"/>
        <v>6.5</v>
      </c>
    </row>
    <row r="30" spans="1:38" x14ac:dyDescent="0.2">
      <c r="A30" t="s">
        <v>4</v>
      </c>
      <c r="H30">
        <f>AD6</f>
        <v>1.39</v>
      </c>
      <c r="AE30">
        <f t="shared" si="0"/>
        <v>1.39</v>
      </c>
      <c r="AF30">
        <v>1.92</v>
      </c>
      <c r="AI30">
        <f t="shared" si="3"/>
        <v>67.577199778638629</v>
      </c>
      <c r="AL30">
        <f t="shared" si="2"/>
        <v>6.5</v>
      </c>
    </row>
    <row r="31" spans="1:38" x14ac:dyDescent="0.2">
      <c r="A31" t="s">
        <v>22</v>
      </c>
      <c r="B31">
        <f t="shared" ref="B31:AD31" si="4">SUM(B2:B30)</f>
        <v>97.5</v>
      </c>
      <c r="C31">
        <f t="shared" si="4"/>
        <v>100</v>
      </c>
      <c r="D31">
        <f t="shared" si="4"/>
        <v>96</v>
      </c>
      <c r="E31">
        <f t="shared" si="4"/>
        <v>97.5</v>
      </c>
      <c r="F31">
        <f t="shared" si="4"/>
        <v>79</v>
      </c>
      <c r="G31">
        <f t="shared" si="4"/>
        <v>17</v>
      </c>
      <c r="H31">
        <f t="shared" si="4"/>
        <v>81.5</v>
      </c>
      <c r="I31">
        <f t="shared" si="4"/>
        <v>12</v>
      </c>
      <c r="J31">
        <f t="shared" si="4"/>
        <v>32.700000000000003</v>
      </c>
      <c r="K31">
        <f t="shared" si="4"/>
        <v>60.8</v>
      </c>
      <c r="L31">
        <f t="shared" si="4"/>
        <v>4</v>
      </c>
      <c r="M31">
        <f t="shared" si="4"/>
        <v>97.5</v>
      </c>
      <c r="N31">
        <f t="shared" si="4"/>
        <v>2.5</v>
      </c>
      <c r="O31">
        <f t="shared" si="4"/>
        <v>12</v>
      </c>
      <c r="P31">
        <f t="shared" si="4"/>
        <v>19</v>
      </c>
      <c r="Q31">
        <f t="shared" si="4"/>
        <v>0.3</v>
      </c>
      <c r="R31">
        <f t="shared" si="4"/>
        <v>25.5</v>
      </c>
      <c r="S31">
        <f t="shared" si="4"/>
        <v>3</v>
      </c>
      <c r="T31">
        <f t="shared" si="4"/>
        <v>1</v>
      </c>
      <c r="U31">
        <f t="shared" si="4"/>
        <v>1</v>
      </c>
      <c r="V31">
        <f t="shared" si="4"/>
        <v>10</v>
      </c>
      <c r="W31">
        <f t="shared" si="4"/>
        <v>4</v>
      </c>
      <c r="X31">
        <f t="shared" si="4"/>
        <v>0.06</v>
      </c>
      <c r="Y31">
        <f t="shared" si="4"/>
        <v>0.05</v>
      </c>
      <c r="Z31">
        <f t="shared" si="4"/>
        <v>1.5</v>
      </c>
      <c r="AA31">
        <f t="shared" si="4"/>
        <v>1.7</v>
      </c>
      <c r="AB31">
        <f t="shared" si="4"/>
        <v>27</v>
      </c>
      <c r="AC31">
        <f t="shared" si="4"/>
        <v>5</v>
      </c>
      <c r="AD31">
        <f t="shared" si="4"/>
        <v>1.39</v>
      </c>
      <c r="AF31">
        <f>SUM(AF2:AF30)</f>
        <v>100.00000000000001</v>
      </c>
    </row>
    <row r="34" spans="1:8" x14ac:dyDescent="0.2">
      <c r="A34" s="3"/>
      <c r="B34" s="3"/>
      <c r="C34" s="3"/>
      <c r="D34" s="3"/>
      <c r="E34" s="3"/>
      <c r="F34" s="3"/>
      <c r="G34" s="3"/>
      <c r="H34" s="3"/>
    </row>
    <row r="35" spans="1:8" x14ac:dyDescent="0.2">
      <c r="A35" s="3"/>
    </row>
    <row r="36" spans="1:8" x14ac:dyDescent="0.2">
      <c r="A36" s="3"/>
    </row>
    <row r="37" spans="1:8" x14ac:dyDescent="0.2">
      <c r="A37" s="3"/>
    </row>
    <row r="38" spans="1:8" x14ac:dyDescent="0.2">
      <c r="A38" s="3"/>
    </row>
    <row r="39" spans="1:8" x14ac:dyDescent="0.2">
      <c r="A39" s="3"/>
    </row>
    <row r="40" spans="1:8" x14ac:dyDescent="0.2">
      <c r="A40" s="3"/>
    </row>
    <row r="41" spans="1:8" x14ac:dyDescent="0.2">
      <c r="A41" s="3"/>
    </row>
    <row r="42" spans="1:8" x14ac:dyDescent="0.2">
      <c r="A42" s="3"/>
    </row>
    <row r="43" spans="1:8" x14ac:dyDescent="0.2">
      <c r="A43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male_new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Marina García Cardosa</cp:lastModifiedBy>
  <cp:revision>2</cp:revision>
  <dcterms:created xsi:type="dcterms:W3CDTF">2020-08-06T14:53:35Z</dcterms:created>
  <dcterms:modified xsi:type="dcterms:W3CDTF">2026-08-09T15:10:55Z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