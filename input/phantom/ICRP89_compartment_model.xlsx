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rina/PyCharmProjects/FLIP_HEDOS_project/input/phantom/"/>
    </mc:Choice>
  </mc:AlternateContent>
  <xr:revisionPtr revIDLastSave="0" documentId="13_ncr:1_{0A9A099A-4112-AC4C-B4A3-84E5D6AD6567}" xr6:coauthVersionLast="47" xr6:coauthVersionMax="47" xr10:uidLastSave="{00000000-0000-0000-0000-000000000000}"/>
  <bookViews>
    <workbookView xWindow="10380" yWindow="2980" windowWidth="26900" windowHeight="14240" tabRatio="500" xr2:uid="{00000000-000D-0000-FFFF-FFFF00000000}"/>
  </bookViews>
  <sheets>
    <sheet name="male_new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34" i="3" l="1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P3" i="3"/>
  <c r="AP4" i="3" s="1"/>
  <c r="AP5" i="3" s="1"/>
  <c r="AP6" i="3" s="1"/>
  <c r="AP7" i="3" s="1"/>
  <c r="AP8" i="3" s="1"/>
  <c r="AP9" i="3" s="1"/>
  <c r="AP10" i="3" s="1"/>
  <c r="AP11" i="3" s="1"/>
  <c r="AP12" i="3" s="1"/>
  <c r="AP13" i="3" s="1"/>
  <c r="AP14" i="3" s="1"/>
  <c r="AP15" i="3" s="1"/>
  <c r="AP16" i="3" s="1"/>
  <c r="AP17" i="3" s="1"/>
  <c r="AP18" i="3" s="1"/>
  <c r="AP19" i="3" s="1"/>
  <c r="AP20" i="3" s="1"/>
  <c r="AP21" i="3" s="1"/>
  <c r="AP22" i="3" s="1"/>
  <c r="AP23" i="3" s="1"/>
  <c r="AP24" i="3" s="1"/>
  <c r="AP25" i="3" s="1"/>
  <c r="AP26" i="3" s="1"/>
  <c r="AP27" i="3" s="1"/>
  <c r="AP28" i="3" s="1"/>
  <c r="AP29" i="3" s="1"/>
  <c r="AP30" i="3" s="1"/>
  <c r="AP31" i="3" s="1"/>
  <c r="AP32" i="3" s="1"/>
  <c r="AP33" i="3" s="1"/>
  <c r="AH3" i="3"/>
  <c r="AH2" i="3"/>
  <c r="AL2" i="3" s="1"/>
  <c r="AL3" i="3" l="1"/>
  <c r="AL32" i="3"/>
  <c r="AL29" i="3"/>
  <c r="AL28" i="3"/>
  <c r="AL27" i="3"/>
  <c r="AL23" i="3"/>
  <c r="AL22" i="3"/>
  <c r="AL20" i="3"/>
  <c r="AL19" i="3"/>
  <c r="AL18" i="3"/>
  <c r="AL17" i="3"/>
  <c r="AL16" i="3"/>
  <c r="AL15" i="3"/>
  <c r="AL13" i="3"/>
  <c r="AL12" i="3"/>
  <c r="AL11" i="3"/>
  <c r="AL10" i="3"/>
  <c r="AL5" i="3"/>
  <c r="AL4" i="3"/>
  <c r="AL31" i="3"/>
  <c r="AL26" i="3"/>
  <c r="AL30" i="3"/>
  <c r="AL24" i="3"/>
  <c r="AL21" i="3"/>
  <c r="AL14" i="3"/>
  <c r="AL9" i="3"/>
  <c r="AL8" i="3"/>
  <c r="AL7" i="3"/>
  <c r="AL6" i="3"/>
  <c r="AL33" i="3"/>
  <c r="AL25" i="3"/>
</calcChain>
</file>

<file path=xl/sharedStrings.xml><?xml version="1.0" encoding="utf-8"?>
<sst xmlns="http://schemas.openxmlformats.org/spreadsheetml/2006/main" count="69" uniqueCount="37">
  <si>
    <t>brain</t>
  </si>
  <si>
    <t>thyroid</t>
  </si>
  <si>
    <t>lymph_nodes</t>
  </si>
  <si>
    <t>large_veins</t>
  </si>
  <si>
    <t>all_other</t>
  </si>
  <si>
    <t>fat</t>
  </si>
  <si>
    <t>skeletal_muscle</t>
  </si>
  <si>
    <t>adrenals</t>
  </si>
  <si>
    <t>skin</t>
  </si>
  <si>
    <t>red_marrow</t>
  </si>
  <si>
    <t>spongy_bone</t>
  </si>
  <si>
    <t>compact_bone</t>
  </si>
  <si>
    <t>other_skeleton</t>
  </si>
  <si>
    <t>bronchial</t>
  </si>
  <si>
    <t>lung</t>
  </si>
  <si>
    <t>right_heart</t>
  </si>
  <si>
    <t>left_heart</t>
  </si>
  <si>
    <t>coronary</t>
  </si>
  <si>
    <t>liver</t>
  </si>
  <si>
    <t>kidneys</t>
  </si>
  <si>
    <t>bladder</t>
  </si>
  <si>
    <t>gonads</t>
  </si>
  <si>
    <t>pancreas</t>
  </si>
  <si>
    <t>spleen</t>
  </si>
  <si>
    <t>stomach_oesophagus</t>
  </si>
  <si>
    <t>small_intestine</t>
  </si>
  <si>
    <t>large_intestine</t>
  </si>
  <si>
    <t>flow_sum</t>
  </si>
  <si>
    <t>volume</t>
  </si>
  <si>
    <t>MTT estimate</t>
  </si>
  <si>
    <t>sum</t>
  </si>
  <si>
    <t>aorta</t>
  </si>
  <si>
    <t>pulmonary_artery</t>
  </si>
  <si>
    <t>large_arteries</t>
  </si>
  <si>
    <t>superior_vena_cava</t>
  </si>
  <si>
    <t>inferior_vena_cava</t>
  </si>
  <si>
    <t>CO_value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</si>
</sst>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4"/>
  <sheetViews>
    <sheetView tabSelected="1" topLeftCell="W1" zoomScale="60" zoomScaleNormal="60" workbookViewId="0">
      <selection activeCell="AP2" sqref="AP2"/>
    </sheetView>
  </sheetViews>
  <sheetFormatPr baseColWidth="10" defaultColWidth="8.5" defaultRowHeight="15" x14ac:dyDescent="0.2"/>
  <cols>
    <col min="1" max="1" width="22.6640625" customWidth="1"/>
    <col min="2" max="33" width="18.6640625" customWidth="1"/>
  </cols>
  <sheetData>
    <row r="1" spans="1:42" x14ac:dyDescent="0.2">
      <c r="A1">
        <v>32</v>
      </c>
      <c r="B1" t="s">
        <v>15</v>
      </c>
      <c r="C1" t="s">
        <v>16</v>
      </c>
      <c r="D1" t="s">
        <v>31</v>
      </c>
      <c r="E1" t="s">
        <v>32</v>
      </c>
      <c r="F1" t="s">
        <v>33</v>
      </c>
      <c r="G1" t="s">
        <v>3</v>
      </c>
      <c r="H1" t="s">
        <v>34</v>
      </c>
      <c r="I1" t="s">
        <v>35</v>
      </c>
      <c r="J1" t="s">
        <v>17</v>
      </c>
      <c r="K1" t="s">
        <v>14</v>
      </c>
      <c r="L1" t="s">
        <v>13</v>
      </c>
      <c r="M1" t="s">
        <v>0</v>
      </c>
      <c r="N1" t="s">
        <v>19</v>
      </c>
      <c r="O1" t="s">
        <v>7</v>
      </c>
      <c r="P1" t="s">
        <v>18</v>
      </c>
      <c r="Q1" t="s">
        <v>23</v>
      </c>
      <c r="R1" t="s">
        <v>22</v>
      </c>
      <c r="S1" t="s">
        <v>24</v>
      </c>
      <c r="T1" t="s">
        <v>25</v>
      </c>
      <c r="U1" t="s">
        <v>26</v>
      </c>
      <c r="V1" t="s">
        <v>20</v>
      </c>
      <c r="W1" t="s">
        <v>21</v>
      </c>
      <c r="X1" t="s">
        <v>1</v>
      </c>
      <c r="Y1" t="s">
        <v>2</v>
      </c>
      <c r="Z1" t="s">
        <v>11</v>
      </c>
      <c r="AA1" t="s">
        <v>10</v>
      </c>
      <c r="AB1" t="s">
        <v>9</v>
      </c>
      <c r="AC1" t="s">
        <v>12</v>
      </c>
      <c r="AD1" t="s">
        <v>6</v>
      </c>
      <c r="AE1" t="s">
        <v>5</v>
      </c>
      <c r="AF1" t="s">
        <v>8</v>
      </c>
      <c r="AG1" t="s">
        <v>4</v>
      </c>
      <c r="AH1" t="s">
        <v>27</v>
      </c>
      <c r="AI1" t="s">
        <v>28</v>
      </c>
      <c r="AL1" t="s">
        <v>29</v>
      </c>
      <c r="AP1" t="s">
        <v>36</v>
      </c>
    </row>
    <row r="2" spans="1:42" x14ac:dyDescent="0.2">
      <c r="A2" t="s">
        <v>15</v>
      </c>
      <c r="E2">
        <v>97.5</v>
      </c>
      <c r="AH2">
        <f t="shared" ref="AH2:AH33" si="0">SUM(B2:AG2)</f>
        <v>97.5</v>
      </c>
      <c r="AI2">
        <v>4.5</v>
      </c>
      <c r="AL2">
        <f t="shared" ref="AL2:AL33" si="1">AI2 * 5.3 / (AH2 * (AP2/60))</f>
        <v>2.257988165680473</v>
      </c>
      <c r="AP2">
        <v>6.5</v>
      </c>
    </row>
    <row r="3" spans="1:42" x14ac:dyDescent="0.2">
      <c r="A3" t="s">
        <v>16</v>
      </c>
      <c r="D3">
        <v>100</v>
      </c>
      <c r="AH3">
        <f t="shared" si="0"/>
        <v>100</v>
      </c>
      <c r="AI3">
        <v>4.5</v>
      </c>
      <c r="AL3">
        <f t="shared" si="1"/>
        <v>2.201538461538461</v>
      </c>
      <c r="AP3">
        <f t="shared" ref="AP3:AP33" si="2">AP2</f>
        <v>6.5</v>
      </c>
    </row>
    <row r="4" spans="1:42" x14ac:dyDescent="0.2">
      <c r="A4" t="s">
        <v>31</v>
      </c>
      <c r="F4">
        <v>100</v>
      </c>
      <c r="AH4">
        <f t="shared" si="0"/>
        <v>100</v>
      </c>
      <c r="AI4">
        <v>2.7</v>
      </c>
      <c r="AL4">
        <f t="shared" si="1"/>
        <v>1.3209230769230769</v>
      </c>
      <c r="AP4">
        <f t="shared" si="2"/>
        <v>6.5</v>
      </c>
    </row>
    <row r="5" spans="1:42" x14ac:dyDescent="0.2">
      <c r="A5" t="s">
        <v>32</v>
      </c>
      <c r="K5">
        <v>97.5</v>
      </c>
      <c r="AH5">
        <f t="shared" si="0"/>
        <v>97.5</v>
      </c>
      <c r="AI5">
        <v>0.5</v>
      </c>
      <c r="AL5">
        <f t="shared" si="1"/>
        <v>0.25088757396449701</v>
      </c>
      <c r="AP5">
        <f t="shared" si="2"/>
        <v>6.5</v>
      </c>
    </row>
    <row r="6" spans="1:42" x14ac:dyDescent="0.2">
      <c r="A6" t="s">
        <v>33</v>
      </c>
      <c r="J6">
        <v>4</v>
      </c>
      <c r="L6">
        <v>2.5</v>
      </c>
      <c r="M6">
        <v>12</v>
      </c>
      <c r="N6">
        <v>19</v>
      </c>
      <c r="O6">
        <v>0.3</v>
      </c>
      <c r="P6">
        <v>6.5</v>
      </c>
      <c r="Q6">
        <v>3</v>
      </c>
      <c r="R6">
        <v>1</v>
      </c>
      <c r="S6">
        <v>1</v>
      </c>
      <c r="T6">
        <v>10</v>
      </c>
      <c r="U6">
        <v>4</v>
      </c>
      <c r="V6">
        <v>0.06</v>
      </c>
      <c r="W6">
        <v>0.05</v>
      </c>
      <c r="X6">
        <v>1.5</v>
      </c>
      <c r="Y6">
        <v>1.7</v>
      </c>
      <c r="Z6">
        <v>0.6</v>
      </c>
      <c r="AA6">
        <v>0.9</v>
      </c>
      <c r="AB6">
        <v>3</v>
      </c>
      <c r="AC6">
        <v>0.5</v>
      </c>
      <c r="AD6">
        <v>17</v>
      </c>
      <c r="AE6">
        <v>5</v>
      </c>
      <c r="AF6">
        <v>5</v>
      </c>
      <c r="AG6">
        <v>1.39</v>
      </c>
      <c r="AH6">
        <f t="shared" si="0"/>
        <v>100</v>
      </c>
      <c r="AI6">
        <v>2.8</v>
      </c>
      <c r="AL6">
        <f t="shared" si="1"/>
        <v>1.3698461538461535</v>
      </c>
      <c r="AP6">
        <f t="shared" si="2"/>
        <v>6.5</v>
      </c>
    </row>
    <row r="7" spans="1:42" x14ac:dyDescent="0.2">
      <c r="A7" t="s">
        <v>3</v>
      </c>
      <c r="H7">
        <v>32.700000000000003</v>
      </c>
      <c r="I7">
        <v>60.8</v>
      </c>
      <c r="AH7">
        <f t="shared" si="0"/>
        <v>93.5</v>
      </c>
      <c r="AI7">
        <v>14</v>
      </c>
      <c r="AL7">
        <f t="shared" si="1"/>
        <v>7.3253805018510905</v>
      </c>
      <c r="AP7">
        <f t="shared" si="2"/>
        <v>6.5</v>
      </c>
    </row>
    <row r="8" spans="1:42" x14ac:dyDescent="0.2">
      <c r="A8" t="s">
        <v>34</v>
      </c>
      <c r="B8">
        <v>32.700000000000003</v>
      </c>
      <c r="AH8">
        <f t="shared" si="0"/>
        <v>32.700000000000003</v>
      </c>
      <c r="AI8">
        <v>1.5</v>
      </c>
      <c r="AL8">
        <f t="shared" si="1"/>
        <v>2.2441778405081152</v>
      </c>
      <c r="AP8">
        <f t="shared" si="2"/>
        <v>6.5</v>
      </c>
    </row>
    <row r="9" spans="1:42" x14ac:dyDescent="0.2">
      <c r="A9" t="s">
        <v>35</v>
      </c>
      <c r="B9">
        <v>60.8</v>
      </c>
      <c r="AH9">
        <f t="shared" si="0"/>
        <v>60.8</v>
      </c>
      <c r="AI9">
        <v>2.5</v>
      </c>
      <c r="AL9">
        <f t="shared" si="1"/>
        <v>2.0116396761133601</v>
      </c>
      <c r="AP9">
        <f t="shared" si="2"/>
        <v>6.5</v>
      </c>
    </row>
    <row r="10" spans="1:42" x14ac:dyDescent="0.2">
      <c r="A10" t="s">
        <v>17</v>
      </c>
      <c r="B10">
        <v>4</v>
      </c>
      <c r="AH10">
        <f t="shared" si="0"/>
        <v>4</v>
      </c>
      <c r="AI10">
        <v>1</v>
      </c>
      <c r="AL10">
        <f t="shared" si="1"/>
        <v>12.23076923076923</v>
      </c>
      <c r="AP10">
        <f t="shared" si="2"/>
        <v>6.5</v>
      </c>
    </row>
    <row r="11" spans="1:42" x14ac:dyDescent="0.2">
      <c r="A11" t="s">
        <v>14</v>
      </c>
      <c r="C11">
        <v>97.5</v>
      </c>
      <c r="AH11">
        <f t="shared" si="0"/>
        <v>97.5</v>
      </c>
      <c r="AI11">
        <v>10.5</v>
      </c>
      <c r="AL11">
        <f t="shared" si="1"/>
        <v>5.2686390532544376</v>
      </c>
      <c r="AP11">
        <f t="shared" si="2"/>
        <v>6.5</v>
      </c>
    </row>
    <row r="12" spans="1:42" x14ac:dyDescent="0.2">
      <c r="A12" t="s">
        <v>13</v>
      </c>
      <c r="C12">
        <v>2.5</v>
      </c>
      <c r="G12">
        <v>0</v>
      </c>
      <c r="AH12">
        <f t="shared" si="0"/>
        <v>2.5</v>
      </c>
      <c r="AI12">
        <v>2</v>
      </c>
      <c r="AL12">
        <f t="shared" si="1"/>
        <v>39.138461538461534</v>
      </c>
      <c r="AP12">
        <f t="shared" si="2"/>
        <v>6.5</v>
      </c>
    </row>
    <row r="13" spans="1:42" x14ac:dyDescent="0.2">
      <c r="A13" t="s">
        <v>0</v>
      </c>
      <c r="G13">
        <v>12</v>
      </c>
      <c r="AH13">
        <f t="shared" si="0"/>
        <v>12</v>
      </c>
      <c r="AI13">
        <v>1.2</v>
      </c>
      <c r="AL13">
        <f t="shared" si="1"/>
        <v>4.8923076923076918</v>
      </c>
      <c r="AP13">
        <f t="shared" si="2"/>
        <v>6.5</v>
      </c>
    </row>
    <row r="14" spans="1:42" x14ac:dyDescent="0.2">
      <c r="A14" t="s">
        <v>19</v>
      </c>
      <c r="G14">
        <v>19</v>
      </c>
      <c r="AH14">
        <f t="shared" si="0"/>
        <v>19</v>
      </c>
      <c r="AI14">
        <v>2</v>
      </c>
      <c r="AL14">
        <f t="shared" si="1"/>
        <v>5.1497975708502013</v>
      </c>
      <c r="AP14">
        <f t="shared" si="2"/>
        <v>6.5</v>
      </c>
    </row>
    <row r="15" spans="1:42" x14ac:dyDescent="0.2">
      <c r="A15" t="s">
        <v>7</v>
      </c>
      <c r="G15">
        <v>0.3</v>
      </c>
      <c r="AH15">
        <f t="shared" si="0"/>
        <v>0.3</v>
      </c>
      <c r="AI15">
        <v>0.06</v>
      </c>
      <c r="AL15">
        <f t="shared" si="1"/>
        <v>9.7846153846153836</v>
      </c>
      <c r="AP15">
        <f t="shared" si="2"/>
        <v>6.5</v>
      </c>
    </row>
    <row r="16" spans="1:42" x14ac:dyDescent="0.2">
      <c r="A16" t="s">
        <v>18</v>
      </c>
      <c r="G16">
        <v>25.5</v>
      </c>
      <c r="AH16">
        <f t="shared" si="0"/>
        <v>25.5</v>
      </c>
      <c r="AI16">
        <v>10</v>
      </c>
      <c r="AL16">
        <f t="shared" si="1"/>
        <v>19.18552036199095</v>
      </c>
      <c r="AP16">
        <f t="shared" si="2"/>
        <v>6.5</v>
      </c>
    </row>
    <row r="17" spans="1:42" x14ac:dyDescent="0.2">
      <c r="A17" t="s">
        <v>23</v>
      </c>
      <c r="P17">
        <v>3</v>
      </c>
      <c r="AH17">
        <f t="shared" si="0"/>
        <v>3</v>
      </c>
      <c r="AI17">
        <v>1.4</v>
      </c>
      <c r="AL17">
        <f t="shared" si="1"/>
        <v>22.830769230769228</v>
      </c>
      <c r="AP17">
        <f t="shared" si="2"/>
        <v>6.5</v>
      </c>
    </row>
    <row r="18" spans="1:42" x14ac:dyDescent="0.2">
      <c r="A18" t="s">
        <v>22</v>
      </c>
      <c r="P18">
        <v>1</v>
      </c>
      <c r="AH18">
        <f t="shared" si="0"/>
        <v>1</v>
      </c>
      <c r="AI18">
        <v>0.6</v>
      </c>
      <c r="AL18">
        <f t="shared" si="1"/>
        <v>29.353846153846149</v>
      </c>
      <c r="AP18">
        <f t="shared" si="2"/>
        <v>6.5</v>
      </c>
    </row>
    <row r="19" spans="1:42" x14ac:dyDescent="0.2">
      <c r="A19" t="s">
        <v>24</v>
      </c>
      <c r="P19">
        <v>1</v>
      </c>
      <c r="AH19">
        <f t="shared" si="0"/>
        <v>1</v>
      </c>
      <c r="AI19">
        <v>1</v>
      </c>
      <c r="AL19">
        <f t="shared" si="1"/>
        <v>48.92307692307692</v>
      </c>
      <c r="AP19">
        <f t="shared" si="2"/>
        <v>6.5</v>
      </c>
    </row>
    <row r="20" spans="1:42" x14ac:dyDescent="0.2">
      <c r="A20" t="s">
        <v>25</v>
      </c>
      <c r="P20">
        <v>10</v>
      </c>
      <c r="AH20">
        <f t="shared" si="0"/>
        <v>10</v>
      </c>
      <c r="AI20">
        <v>3.8</v>
      </c>
      <c r="AL20">
        <f t="shared" si="1"/>
        <v>18.590769230769226</v>
      </c>
      <c r="AP20">
        <f t="shared" si="2"/>
        <v>6.5</v>
      </c>
    </row>
    <row r="21" spans="1:42" x14ac:dyDescent="0.2">
      <c r="A21" t="s">
        <v>26</v>
      </c>
      <c r="P21">
        <v>4</v>
      </c>
      <c r="AH21">
        <f t="shared" si="0"/>
        <v>4</v>
      </c>
      <c r="AI21">
        <v>2.2000000000000002</v>
      </c>
      <c r="AL21">
        <f t="shared" si="1"/>
        <v>26.907692307692308</v>
      </c>
      <c r="AP21">
        <f t="shared" si="2"/>
        <v>6.5</v>
      </c>
    </row>
    <row r="22" spans="1:42" x14ac:dyDescent="0.2">
      <c r="A22" t="s">
        <v>20</v>
      </c>
      <c r="G22">
        <v>0.06</v>
      </c>
      <c r="AH22">
        <f t="shared" si="0"/>
        <v>0.06</v>
      </c>
      <c r="AI22">
        <v>0.02</v>
      </c>
      <c r="AL22">
        <f t="shared" si="1"/>
        <v>16.307692307692307</v>
      </c>
      <c r="AP22">
        <f t="shared" si="2"/>
        <v>6.5</v>
      </c>
    </row>
    <row r="23" spans="1:42" x14ac:dyDescent="0.2">
      <c r="A23" t="s">
        <v>21</v>
      </c>
      <c r="G23">
        <v>0.05</v>
      </c>
      <c r="AH23">
        <f t="shared" si="0"/>
        <v>0.05</v>
      </c>
      <c r="AI23">
        <v>0.04</v>
      </c>
      <c r="AL23">
        <f t="shared" si="1"/>
        <v>39.138461538461534</v>
      </c>
      <c r="AP23">
        <f t="shared" si="2"/>
        <v>6.5</v>
      </c>
    </row>
    <row r="24" spans="1:42" x14ac:dyDescent="0.2">
      <c r="A24" t="s">
        <v>1</v>
      </c>
      <c r="G24">
        <v>1.5</v>
      </c>
      <c r="AH24">
        <f t="shared" si="0"/>
        <v>1.5</v>
      </c>
      <c r="AI24">
        <v>0.06</v>
      </c>
      <c r="AL24">
        <f t="shared" si="1"/>
        <v>1.956923076923077</v>
      </c>
      <c r="AP24">
        <f t="shared" si="2"/>
        <v>6.5</v>
      </c>
    </row>
    <row r="25" spans="1:42" x14ac:dyDescent="0.2">
      <c r="A25" t="s">
        <v>2</v>
      </c>
      <c r="G25">
        <v>1.7</v>
      </c>
      <c r="AH25">
        <f t="shared" si="0"/>
        <v>1.7</v>
      </c>
      <c r="AI25">
        <v>0.2</v>
      </c>
      <c r="AL25">
        <f t="shared" si="1"/>
        <v>5.755656108597285</v>
      </c>
      <c r="AP25">
        <f t="shared" si="2"/>
        <v>6.5</v>
      </c>
    </row>
    <row r="26" spans="1:42" x14ac:dyDescent="0.2">
      <c r="A26" t="s">
        <v>11</v>
      </c>
      <c r="G26">
        <v>0.6</v>
      </c>
      <c r="AH26">
        <f t="shared" si="0"/>
        <v>0.6</v>
      </c>
      <c r="AI26">
        <v>0.8</v>
      </c>
      <c r="AL26">
        <f t="shared" si="1"/>
        <v>65.230769230769226</v>
      </c>
      <c r="AP26">
        <f t="shared" si="2"/>
        <v>6.5</v>
      </c>
    </row>
    <row r="27" spans="1:42" x14ac:dyDescent="0.2">
      <c r="A27" t="s">
        <v>10</v>
      </c>
      <c r="G27">
        <v>0.9</v>
      </c>
      <c r="AH27">
        <f t="shared" si="0"/>
        <v>0.9</v>
      </c>
      <c r="AI27">
        <v>1.2</v>
      </c>
      <c r="AL27">
        <f t="shared" si="1"/>
        <v>65.230769230769226</v>
      </c>
      <c r="AP27">
        <f t="shared" si="2"/>
        <v>6.5</v>
      </c>
    </row>
    <row r="28" spans="1:42" x14ac:dyDescent="0.2">
      <c r="A28" t="s">
        <v>9</v>
      </c>
      <c r="G28">
        <v>3</v>
      </c>
      <c r="AH28">
        <f t="shared" si="0"/>
        <v>3</v>
      </c>
      <c r="AI28">
        <v>4</v>
      </c>
      <c r="AL28">
        <f t="shared" si="1"/>
        <v>65.230769230769226</v>
      </c>
      <c r="AP28">
        <f t="shared" si="2"/>
        <v>6.5</v>
      </c>
    </row>
    <row r="29" spans="1:42" x14ac:dyDescent="0.2">
      <c r="A29" t="s">
        <v>12</v>
      </c>
      <c r="G29">
        <v>0.5</v>
      </c>
      <c r="AH29">
        <f t="shared" si="0"/>
        <v>0.5</v>
      </c>
      <c r="AI29">
        <v>1</v>
      </c>
      <c r="AL29">
        <f t="shared" si="1"/>
        <v>97.84615384615384</v>
      </c>
      <c r="AP29">
        <f t="shared" si="2"/>
        <v>6.5</v>
      </c>
    </row>
    <row r="30" spans="1:42" x14ac:dyDescent="0.2">
      <c r="A30" t="s">
        <v>6</v>
      </c>
      <c r="G30">
        <v>17</v>
      </c>
      <c r="AH30">
        <f t="shared" si="0"/>
        <v>17</v>
      </c>
      <c r="AI30">
        <v>14</v>
      </c>
      <c r="AL30">
        <f t="shared" si="1"/>
        <v>40.289592760180994</v>
      </c>
      <c r="AP30">
        <f t="shared" si="2"/>
        <v>6.5</v>
      </c>
    </row>
    <row r="31" spans="1:42" x14ac:dyDescent="0.2">
      <c r="A31" t="s">
        <v>5</v>
      </c>
      <c r="G31">
        <v>5</v>
      </c>
      <c r="AH31">
        <f t="shared" si="0"/>
        <v>5</v>
      </c>
      <c r="AI31">
        <v>5</v>
      </c>
      <c r="AL31">
        <f t="shared" si="1"/>
        <v>48.92307692307692</v>
      </c>
      <c r="AP31">
        <f t="shared" si="2"/>
        <v>6.5</v>
      </c>
    </row>
    <row r="32" spans="1:42" x14ac:dyDescent="0.2">
      <c r="A32" t="s">
        <v>8</v>
      </c>
      <c r="G32">
        <v>5</v>
      </c>
      <c r="AH32">
        <f t="shared" si="0"/>
        <v>5</v>
      </c>
      <c r="AI32">
        <v>3</v>
      </c>
      <c r="AL32">
        <f t="shared" si="1"/>
        <v>29.353846153846145</v>
      </c>
      <c r="AP32">
        <f t="shared" si="2"/>
        <v>6.5</v>
      </c>
    </row>
    <row r="33" spans="1:42" x14ac:dyDescent="0.2">
      <c r="A33" t="s">
        <v>4</v>
      </c>
      <c r="G33">
        <v>1.39</v>
      </c>
      <c r="AH33">
        <f t="shared" si="0"/>
        <v>1.39</v>
      </c>
      <c r="AI33">
        <v>1.92</v>
      </c>
      <c r="AL33">
        <f t="shared" si="1"/>
        <v>67.577199778638629</v>
      </c>
      <c r="AP33">
        <f t="shared" si="2"/>
        <v>6.5</v>
      </c>
    </row>
    <row r="34" spans="1:42" x14ac:dyDescent="0.2">
      <c r="A34" t="s">
        <v>30</v>
      </c>
      <c r="B34">
        <f t="shared" ref="B34:AG34" si="3">SUM(B2:B33)</f>
        <v>97.5</v>
      </c>
      <c r="C34">
        <f t="shared" si="3"/>
        <v>100</v>
      </c>
      <c r="D34">
        <f t="shared" si="3"/>
        <v>100</v>
      </c>
      <c r="E34">
        <f t="shared" si="3"/>
        <v>97.5</v>
      </c>
      <c r="F34">
        <f t="shared" si="3"/>
        <v>100</v>
      </c>
      <c r="G34">
        <f t="shared" si="3"/>
        <v>93.5</v>
      </c>
      <c r="H34">
        <f t="shared" si="3"/>
        <v>32.700000000000003</v>
      </c>
      <c r="I34">
        <f t="shared" si="3"/>
        <v>60.8</v>
      </c>
      <c r="J34">
        <f t="shared" si="3"/>
        <v>4</v>
      </c>
      <c r="K34">
        <f t="shared" si="3"/>
        <v>97.5</v>
      </c>
      <c r="L34">
        <f t="shared" si="3"/>
        <v>2.5</v>
      </c>
      <c r="M34">
        <f t="shared" si="3"/>
        <v>12</v>
      </c>
      <c r="N34">
        <f t="shared" si="3"/>
        <v>19</v>
      </c>
      <c r="O34">
        <f t="shared" si="3"/>
        <v>0.3</v>
      </c>
      <c r="P34">
        <f t="shared" si="3"/>
        <v>25.5</v>
      </c>
      <c r="Q34">
        <f t="shared" si="3"/>
        <v>3</v>
      </c>
      <c r="R34">
        <f t="shared" si="3"/>
        <v>1</v>
      </c>
      <c r="S34">
        <f t="shared" si="3"/>
        <v>1</v>
      </c>
      <c r="T34">
        <f t="shared" si="3"/>
        <v>10</v>
      </c>
      <c r="U34">
        <f t="shared" si="3"/>
        <v>4</v>
      </c>
      <c r="V34">
        <f t="shared" si="3"/>
        <v>0.06</v>
      </c>
      <c r="W34">
        <f t="shared" si="3"/>
        <v>0.05</v>
      </c>
      <c r="X34">
        <f t="shared" si="3"/>
        <v>1.5</v>
      </c>
      <c r="Y34">
        <f t="shared" si="3"/>
        <v>1.7</v>
      </c>
      <c r="Z34">
        <f t="shared" si="3"/>
        <v>0.6</v>
      </c>
      <c r="AA34">
        <f t="shared" si="3"/>
        <v>0.9</v>
      </c>
      <c r="AB34">
        <f t="shared" si="3"/>
        <v>3</v>
      </c>
      <c r="AC34">
        <f t="shared" si="3"/>
        <v>0.5</v>
      </c>
      <c r="AD34">
        <f t="shared" si="3"/>
        <v>17</v>
      </c>
      <c r="AE34">
        <f t="shared" si="3"/>
        <v>5</v>
      </c>
      <c r="AF34">
        <f t="shared" si="3"/>
        <v>5</v>
      </c>
      <c r="AG34">
        <f t="shared" si="3"/>
        <v>1.39</v>
      </c>
      <c r="AI34">
        <f>SUM(AI2:AI33)</f>
        <v>100.00000000000001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male_new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Marina Garcia Cardosa</cp:lastModifiedBy>
  <cp:revision>38</cp:revision>
  <dcterms:created xsi:type="dcterms:W3CDTF">2020-08-06T14:53:35Z</dcterms:created>
  <dcterms:modified xsi:type="dcterms:W3CDTF">2026-09-07T11:29:55Z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